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 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<sst xmlns="http://schemas.openxmlformats.org/spreadsheetml/2006/main" count="96" uniqueCount="66">
  <si>
    <t xml:space="preserve">VARIATION ORDER LOG — Riyadh Heights Residential Towers</t>
  </si>
  <si>
    <t xml:space="preserve">Main Contractor: Al-Rashid Construction Est.  |  Currency: SAR  |  Log as of: 30-Jun-2026</t>
  </si>
  <si>
    <t xml:space="preserve">VO No.</t>
  </si>
  <si>
    <t xml:space="preserve">Description</t>
  </si>
  <si>
    <t xml:space="preserve">Raised By</t>
  </si>
  <si>
    <t xml:space="preserve">Category</t>
  </si>
  <si>
    <t xml:space="preserve">Date Approved</t>
  </si>
  <si>
    <t xml:space="preserve">Cost Impact (SAR)</t>
  </si>
  <si>
    <t xml:space="preserve">Time Impact (days)</t>
  </si>
  <si>
    <t xml:space="preserve">Status</t>
  </si>
  <si>
    <t xml:space="preserve">VO-001</t>
  </si>
  <si>
    <t xml:space="preserve">Additional basement waterproofing due to elevated groundwater table found during excavation</t>
  </si>
  <si>
    <t xml:space="preserve">Main Contractor</t>
  </si>
  <si>
    <t xml:space="preserve">Site Condition</t>
  </si>
  <si>
    <t xml:space="preserve">15-Mar-2024</t>
  </si>
  <si>
    <t xml:space="preserve">APPROVED</t>
  </si>
  <si>
    <t xml:space="preserve">VO-002</t>
  </si>
  <si>
    <t xml:space="preserve">Upgrade to podium level facade cladding per Client's revised aesthetic brief</t>
  </si>
  <si>
    <t xml:space="preserve">Client</t>
  </si>
  <si>
    <t xml:space="preserve">Client Change</t>
  </si>
  <si>
    <t xml:space="preserve">02-May-2024</t>
  </si>
  <si>
    <t xml:space="preserve">VO-003</t>
  </si>
  <si>
    <t xml:space="preserve">Relocation of main electrical substation due to civil defense access-road requirement</t>
  </si>
  <si>
    <t xml:space="preserve">Civil Defense / Municipality</t>
  </si>
  <si>
    <t xml:space="preserve">Statutory</t>
  </si>
  <si>
    <t xml:space="preserve">20-Jul-2024</t>
  </si>
  <si>
    <t xml:space="preserve">VO-004</t>
  </si>
  <si>
    <t xml:space="preserve">Omission of originally-specified swimming pool deck heating system</t>
  </si>
  <si>
    <t xml:space="preserve">11-Sep-2024</t>
  </si>
  <si>
    <t xml:space="preserve">VO-005</t>
  </si>
  <si>
    <t xml:space="preserve">Additional pile testing (2 no. static load tests) requested by geotechnical consultant</t>
  </si>
  <si>
    <t xml:space="preserve">Consultant</t>
  </si>
  <si>
    <t xml:space="preserve">Design Development</t>
  </si>
  <si>
    <t xml:space="preserve">05-Nov-2024</t>
  </si>
  <si>
    <t xml:space="preserve">VO-006</t>
  </si>
  <si>
    <t xml:space="preserve">Upgrade of fire pump set capacity per revised Civil Defense hydraulic calculation review</t>
  </si>
  <si>
    <t xml:space="preserve">Civil Defense</t>
  </si>
  <si>
    <t xml:space="preserve">14-Jan-2025</t>
  </si>
  <si>
    <t xml:space="preserve">VO-007</t>
  </si>
  <si>
    <t xml:space="preserve">Additional structural steel bracing to Tower B roof due to updated wind load code</t>
  </si>
  <si>
    <t xml:space="preserve">22-Mar-2025</t>
  </si>
  <si>
    <t xml:space="preserve">VO-008</t>
  </si>
  <si>
    <t xml:space="preserve">Client-requested upgrade to lobby finishes — marble flooring in lieu of specified porcelain</t>
  </si>
  <si>
    <t xml:space="preserve">18-May-2025</t>
  </si>
  <si>
    <t xml:space="preserve">VO-009</t>
  </si>
  <si>
    <t xml:space="preserve">MEP re-routing to accommodate revised retail unit layout on Ground Floor</t>
  </si>
  <si>
    <t xml:space="preserve">09-Aug-2025</t>
  </si>
  <si>
    <t xml:space="preserve">VO-010</t>
  </si>
  <si>
    <t xml:space="preserve">Extended dewatering works due to unseasonal rainfall during basement construction</t>
  </si>
  <si>
    <t xml:space="preserve">27-Oct-2025</t>
  </si>
  <si>
    <t xml:space="preserve">VO-011</t>
  </si>
  <si>
    <t xml:space="preserve">Additional CCTV and access control points per updated Client security brief</t>
  </si>
  <si>
    <t xml:space="preserve">12-Jan-2026</t>
  </si>
  <si>
    <t xml:space="preserve">VO-012</t>
  </si>
  <si>
    <t xml:space="preserve">Facade sealant system upgrade following mock-up testing failure</t>
  </si>
  <si>
    <t xml:space="preserve">Quality/Defect Rectification</t>
  </si>
  <si>
    <t xml:space="preserve">08-Mar-2026</t>
  </si>
  <si>
    <t xml:space="preserve">VO-013</t>
  </si>
  <si>
    <t xml:space="preserve">Proposed upgrade to elevator car finishes — under review, not yet priced</t>
  </si>
  <si>
    <t xml:space="preserve">PENDING</t>
  </si>
  <si>
    <t xml:space="preserve">PENDING PRICING</t>
  </si>
  <si>
    <t xml:space="preserve">VO-014</t>
  </si>
  <si>
    <t xml:space="preserve">Additional signage package for parking basement wayfinding</t>
  </si>
  <si>
    <t xml:space="preserve">02-Jun-2026</t>
  </si>
  <si>
    <t xml:space="preserve">TOTAL</t>
  </si>
  <si>
    <t xml:space="preserve">Total APPROVED cost impact (excl. pending items)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</si>
</sst>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3C5E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3C5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5"/>
    <col collapsed="false" customWidth="true" hidden="false" outlineLevel="0" max="4" min="3" style="0" width="22"/>
    <col collapsed="false" customWidth="true" hidden="false" outlineLevel="0" max="6" min="5" style="0" width="16"/>
    <col collapsed="false" customWidth="true" hidden="false" outlineLevel="0" max="7" min="7" style="0" width="14"/>
    <col collapsed="false" customWidth="true" hidden="false" outlineLevel="0" max="8" min="8" style="0" width="2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3.85" hidden="false" customHeight="false" outlineLevel="0" collapsed="false">
      <c r="A5" s="4" t="s">
        <v>10</v>
      </c>
      <c r="B5" s="5" t="s">
        <v>11</v>
      </c>
      <c r="C5" s="4" t="s">
        <v>12</v>
      </c>
      <c r="D5" s="4" t="s">
        <v>13</v>
      </c>
      <c r="E5" s="4" t="s">
        <v>14</v>
      </c>
      <c r="F5" s="6" t="n">
        <v>1250000</v>
      </c>
      <c r="G5" s="4" t="n">
        <v>12</v>
      </c>
      <c r="H5" s="4" t="s">
        <v>15</v>
      </c>
    </row>
    <row r="6" customFormat="false" ht="23.85" hidden="false" customHeight="false" outlineLevel="0" collapsed="false">
      <c r="A6" s="4" t="s">
        <v>16</v>
      </c>
      <c r="B6" s="5" t="s">
        <v>17</v>
      </c>
      <c r="C6" s="4" t="s">
        <v>18</v>
      </c>
      <c r="D6" s="4" t="s">
        <v>19</v>
      </c>
      <c r="E6" s="4" t="s">
        <v>20</v>
      </c>
      <c r="F6" s="6" t="n">
        <v>3800000</v>
      </c>
      <c r="G6" s="4" t="n">
        <v>25</v>
      </c>
      <c r="H6" s="4" t="s">
        <v>15</v>
      </c>
    </row>
    <row r="7" customFormat="false" ht="23.85" hidden="false" customHeight="false" outlineLevel="0" collapsed="false">
      <c r="A7" s="4" t="s">
        <v>21</v>
      </c>
      <c r="B7" s="5" t="s">
        <v>22</v>
      </c>
      <c r="C7" s="4" t="s">
        <v>23</v>
      </c>
      <c r="D7" s="4" t="s">
        <v>24</v>
      </c>
      <c r="E7" s="4" t="s">
        <v>25</v>
      </c>
      <c r="F7" s="6" t="n">
        <v>970000</v>
      </c>
      <c r="G7" s="4" t="n">
        <v>18</v>
      </c>
      <c r="H7" s="4" t="s">
        <v>15</v>
      </c>
    </row>
    <row r="8" customFormat="false" ht="15" hidden="false" customHeight="false" outlineLevel="0" collapsed="false">
      <c r="A8" s="4" t="s">
        <v>26</v>
      </c>
      <c r="B8" s="5" t="s">
        <v>27</v>
      </c>
      <c r="C8" s="4" t="s">
        <v>18</v>
      </c>
      <c r="D8" s="4" t="s">
        <v>19</v>
      </c>
      <c r="E8" s="4" t="s">
        <v>28</v>
      </c>
      <c r="F8" s="6" t="n">
        <v>-420000</v>
      </c>
      <c r="G8" s="4" t="n">
        <v>0</v>
      </c>
      <c r="H8" s="4" t="s">
        <v>15</v>
      </c>
    </row>
    <row r="9" customFormat="false" ht="23.85" hidden="false" customHeight="false" outlineLevel="0" collapsed="false">
      <c r="A9" s="4" t="s">
        <v>29</v>
      </c>
      <c r="B9" s="5" t="s">
        <v>30</v>
      </c>
      <c r="C9" s="4" t="s">
        <v>31</v>
      </c>
      <c r="D9" s="4" t="s">
        <v>32</v>
      </c>
      <c r="E9" s="4" t="s">
        <v>33</v>
      </c>
      <c r="F9" s="6" t="n">
        <v>310000</v>
      </c>
      <c r="G9" s="4" t="n">
        <v>8</v>
      </c>
      <c r="H9" s="4" t="s">
        <v>15</v>
      </c>
    </row>
    <row r="10" customFormat="false" ht="23.85" hidden="false" customHeight="false" outlineLevel="0" collapsed="false">
      <c r="A10" s="4" t="s">
        <v>34</v>
      </c>
      <c r="B10" s="5" t="s">
        <v>35</v>
      </c>
      <c r="C10" s="4" t="s">
        <v>36</v>
      </c>
      <c r="D10" s="4" t="s">
        <v>24</v>
      </c>
      <c r="E10" s="4" t="s">
        <v>37</v>
      </c>
      <c r="F10" s="6" t="n">
        <v>640000</v>
      </c>
      <c r="G10" s="4" t="n">
        <v>10</v>
      </c>
      <c r="H10" s="4" t="s">
        <v>15</v>
      </c>
    </row>
    <row r="11" customFormat="false" ht="23.85" hidden="false" customHeight="false" outlineLevel="0" collapsed="false">
      <c r="A11" s="4" t="s">
        <v>38</v>
      </c>
      <c r="B11" s="5" t="s">
        <v>39</v>
      </c>
      <c r="C11" s="4" t="s">
        <v>31</v>
      </c>
      <c r="D11" s="4" t="s">
        <v>32</v>
      </c>
      <c r="E11" s="4" t="s">
        <v>40</v>
      </c>
      <c r="F11" s="6" t="n">
        <v>890000</v>
      </c>
      <c r="G11" s="4" t="n">
        <v>15</v>
      </c>
      <c r="H11" s="4" t="s">
        <v>15</v>
      </c>
    </row>
    <row r="12" customFormat="false" ht="23.85" hidden="false" customHeight="false" outlineLevel="0" collapsed="false">
      <c r="A12" s="4" t="s">
        <v>41</v>
      </c>
      <c r="B12" s="5" t="s">
        <v>42</v>
      </c>
      <c r="C12" s="4" t="s">
        <v>18</v>
      </c>
      <c r="D12" s="4" t="s">
        <v>19</v>
      </c>
      <c r="E12" s="4" t="s">
        <v>43</v>
      </c>
      <c r="F12" s="6" t="n">
        <v>1140000</v>
      </c>
      <c r="G12" s="4" t="n">
        <v>20</v>
      </c>
      <c r="H12" s="4" t="s">
        <v>15</v>
      </c>
    </row>
    <row r="13" customFormat="false" ht="23.85" hidden="false" customHeight="false" outlineLevel="0" collapsed="false">
      <c r="A13" s="4" t="s">
        <v>44</v>
      </c>
      <c r="B13" s="5" t="s">
        <v>45</v>
      </c>
      <c r="C13" s="4" t="s">
        <v>18</v>
      </c>
      <c r="D13" s="4" t="s">
        <v>19</v>
      </c>
      <c r="E13" s="4" t="s">
        <v>46</v>
      </c>
      <c r="F13" s="6" t="n">
        <v>560000</v>
      </c>
      <c r="G13" s="4" t="n">
        <v>14</v>
      </c>
      <c r="H13" s="4" t="s">
        <v>15</v>
      </c>
    </row>
    <row r="14" customFormat="false" ht="23.85" hidden="false" customHeight="false" outlineLevel="0" collapsed="false">
      <c r="A14" s="4" t="s">
        <v>47</v>
      </c>
      <c r="B14" s="5" t="s">
        <v>48</v>
      </c>
      <c r="C14" s="4" t="s">
        <v>12</v>
      </c>
      <c r="D14" s="4" t="s">
        <v>13</v>
      </c>
      <c r="E14" s="4" t="s">
        <v>49</v>
      </c>
      <c r="F14" s="6" t="n">
        <v>480000</v>
      </c>
      <c r="G14" s="4" t="n">
        <v>21</v>
      </c>
      <c r="H14" s="4" t="s">
        <v>15</v>
      </c>
    </row>
    <row r="15" customFormat="false" ht="23.85" hidden="false" customHeight="false" outlineLevel="0" collapsed="false">
      <c r="A15" s="4" t="s">
        <v>50</v>
      </c>
      <c r="B15" s="5" t="s">
        <v>51</v>
      </c>
      <c r="C15" s="4" t="s">
        <v>18</v>
      </c>
      <c r="D15" s="4" t="s">
        <v>19</v>
      </c>
      <c r="E15" s="4" t="s">
        <v>52</v>
      </c>
      <c r="F15" s="6" t="n">
        <v>275000</v>
      </c>
      <c r="G15" s="4" t="n">
        <v>5</v>
      </c>
      <c r="H15" s="4" t="s">
        <v>15</v>
      </c>
    </row>
    <row r="16" customFormat="false" ht="15" hidden="false" customHeight="false" outlineLevel="0" collapsed="false">
      <c r="A16" s="4" t="s">
        <v>53</v>
      </c>
      <c r="B16" s="5" t="s">
        <v>54</v>
      </c>
      <c r="C16" s="4" t="s">
        <v>12</v>
      </c>
      <c r="D16" s="4" t="s">
        <v>55</v>
      </c>
      <c r="E16" s="4" t="s">
        <v>56</v>
      </c>
      <c r="F16" s="6" t="n">
        <v>390000</v>
      </c>
      <c r="G16" s="4" t="n">
        <v>9</v>
      </c>
      <c r="H16" s="4" t="s">
        <v>15</v>
      </c>
    </row>
    <row r="17" customFormat="false" ht="23.85" hidden="false" customHeight="false" outlineLevel="0" collapsed="false">
      <c r="A17" s="4" t="s">
        <v>57</v>
      </c>
      <c r="B17" s="5" t="s">
        <v>58</v>
      </c>
      <c r="C17" s="4" t="s">
        <v>18</v>
      </c>
      <c r="D17" s="4" t="s">
        <v>19</v>
      </c>
      <c r="E17" s="4" t="s">
        <v>59</v>
      </c>
      <c r="F17" s="6" t="n">
        <v>0</v>
      </c>
      <c r="G17" s="4" t="n">
        <v>0</v>
      </c>
      <c r="H17" s="4" t="s">
        <v>60</v>
      </c>
    </row>
    <row r="18" customFormat="false" ht="15" hidden="false" customHeight="false" outlineLevel="0" collapsed="false">
      <c r="A18" s="4" t="s">
        <v>61</v>
      </c>
      <c r="B18" s="5" t="s">
        <v>62</v>
      </c>
      <c r="C18" s="4" t="s">
        <v>18</v>
      </c>
      <c r="D18" s="4" t="s">
        <v>19</v>
      </c>
      <c r="E18" s="4" t="s">
        <v>63</v>
      </c>
      <c r="F18" s="6" t="n">
        <v>165000</v>
      </c>
      <c r="G18" s="4" t="n">
        <v>3</v>
      </c>
      <c r="H18" s="4" t="s">
        <v>15</v>
      </c>
    </row>
    <row r="19" customFormat="false" ht="15" hidden="false" customHeight="false" outlineLevel="0" collapsed="false">
      <c r="A19" s="7" t="s">
        <v>64</v>
      </c>
      <c r="B19" s="7"/>
      <c r="C19" s="7"/>
      <c r="D19" s="7"/>
      <c r="E19" s="7"/>
      <c r="F19" s="8" t="n">
        <f aca="false">SUM(F5:F18)</f>
        <v>10450000</v>
      </c>
      <c r="G19" s="9" t="n">
        <f aca="false">SUM(G5:G18)</f>
        <v>160</v>
      </c>
    </row>
    <row r="20" customFormat="false" ht="15" hidden="false" customHeight="false" outlineLevel="0" collapsed="false">
      <c r="A20" s="10" t="s">
        <v>65</v>
      </c>
      <c r="B20" s="10"/>
      <c r="C20" s="10"/>
      <c r="D20" s="10"/>
      <c r="E20" s="10"/>
      <c r="F20" s="11" t="n">
        <f aca="false">SUMIF(H5:H18,"APPROVED",F5:F18)</f>
        <v>10450000</v>
      </c>
    </row>
  </sheetData>
  <mergeCells count="4">
    <mergeCell ref="A1:H1"/>
    <mergeCell ref="A2:H2"/>
    <mergeCell ref="A19:E19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2026-07-07T15:04:57Z</dcterms:created>
  <dc:creator>openpyxl</dc:creator>
  <dc:description/>
  <dc:language>en-US</dc:language>
  <cp:lastModifiedBy/>
  <dcterms:modified xsi:type="dcterms:W3CDTF">2026-07-07T15:04:57Z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