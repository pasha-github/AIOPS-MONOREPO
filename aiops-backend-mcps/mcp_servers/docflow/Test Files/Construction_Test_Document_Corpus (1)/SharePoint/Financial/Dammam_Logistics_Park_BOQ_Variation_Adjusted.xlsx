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tion-Adjusted BOQ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<sst xmlns="http://schemas.openxmlformats.org/spreadsheetml/2006/main" count="67" uniqueCount="52">
  <si>
    <t xml:space="preserve">BILL OF QUANTITIES (VARIATION-ADJUSTED) — Dammam Logistics Park</t>
  </si>
  <si>
    <t xml:space="preserve">Contractor: Eastern Province Steel Works Co.  |  Currency: SAR  |  Adjusted BOQ as of: 30-Jun-2026 (incorporates VO-DLP-003, 007, 009, 011)</t>
  </si>
  <si>
    <t xml:space="preserve">Item No.</t>
  </si>
  <si>
    <t xml:space="preserve">Description</t>
  </si>
  <si>
    <t xml:space="preserve">Unit</t>
  </si>
  <si>
    <t xml:space="preserve">Quantity</t>
  </si>
  <si>
    <t xml:space="preserve">Rate (SAR)</t>
  </si>
  <si>
    <t xml:space="preserve">Amount (SAR)</t>
  </si>
  <si>
    <t xml:space="preserve">Note</t>
  </si>
  <si>
    <t xml:space="preserve">1.1</t>
  </si>
  <si>
    <t xml:space="preserve">Site clearance and earthworks</t>
  </si>
  <si>
    <t xml:space="preserve">m2</t>
  </si>
  <si>
    <t xml:space="preserve">1.2</t>
  </si>
  <si>
    <t xml:space="preserve">Excavation for foundations</t>
  </si>
  <si>
    <t xml:space="preserve">m3</t>
  </si>
  <si>
    <t xml:space="preserve">Adjusted per Variation Order</t>
  </si>
  <si>
    <t xml:space="preserve">1.3</t>
  </si>
  <si>
    <t xml:space="preserve">Backfilling and compaction</t>
  </si>
  <si>
    <t xml:space="preserve">2.1</t>
  </si>
  <si>
    <t xml:space="preserve">Reinforced concrete - pile caps</t>
  </si>
  <si>
    <t xml:space="preserve">2.2</t>
  </si>
  <si>
    <t xml:space="preserve">Reinforced concrete - ground slab</t>
  </si>
  <si>
    <t xml:space="preserve">2.3</t>
  </si>
  <si>
    <t xml:space="preserve">Structural steel frame - primary members</t>
  </si>
  <si>
    <t xml:space="preserve">ton</t>
  </si>
  <si>
    <t xml:space="preserve">2.4</t>
  </si>
  <si>
    <t xml:space="preserve">Structural steel frame - secondary members</t>
  </si>
  <si>
    <t xml:space="preserve">3.1</t>
  </si>
  <si>
    <t xml:space="preserve">Metal roof cladding system</t>
  </si>
  <si>
    <t xml:space="preserve">3.2</t>
  </si>
  <si>
    <t xml:space="preserve">Wall cladding - insulated panels</t>
  </si>
  <si>
    <t xml:space="preserve">4.1</t>
  </si>
  <si>
    <t xml:space="preserve">Warehouse floor - reinforced concrete with hardener</t>
  </si>
  <si>
    <t xml:space="preserve">5.1</t>
  </si>
  <si>
    <t xml:space="preserve">External paving and hardstanding</t>
  </si>
  <si>
    <t xml:space="preserve">6.1</t>
  </si>
  <si>
    <t xml:space="preserve">Fire protection system - sprinklers (ESFR)</t>
  </si>
  <si>
    <t xml:space="preserve">sum</t>
  </si>
  <si>
    <t xml:space="preserve">6.2</t>
  </si>
  <si>
    <t xml:space="preserve">Electrical distribution and lighting</t>
  </si>
  <si>
    <t xml:space="preserve">7.1</t>
  </si>
  <si>
    <t xml:space="preserve">Stormwater drainage network</t>
  </si>
  <si>
    <t xml:space="preserve">m</t>
  </si>
  <si>
    <t xml:space="preserve">8.1</t>
  </si>
  <si>
    <t xml:space="preserve">Additional dock leveler installation (12 no.) - VO-DLP-009</t>
  </si>
  <si>
    <t xml:space="preserve">no.</t>
  </si>
  <si>
    <t xml:space="preserve">New item added by Variation Order</t>
  </si>
  <si>
    <t xml:space="preserve">8.2</t>
  </si>
  <si>
    <t xml:space="preserve">Extended perimeter security fencing - VO-DLP-011</t>
  </si>
  <si>
    <t xml:space="preserve">TOTAL VARIATION-ADJUSTED VALUE</t>
  </si>
  <si>
    <t xml:space="preserve">Original Contract Value (SAR) — Source: Dammam_Logistics_Park_BOQ_Original.xlsx</t>
  </si>
  <si>
    <t xml:space="preserve">Cost Slippage (Adjusted - Original):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</si>
</sst>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#,##0;\(#,##0\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C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5" t="n">
        <v>42000</v>
      </c>
      <c r="E5" s="6" t="n">
        <v>38</v>
      </c>
      <c r="F5" s="5" t="n">
        <f aca="false">D5*E5</f>
        <v>1596000</v>
      </c>
      <c r="G5" s="4"/>
    </row>
    <row r="6" customFormat="false" ht="15" hidden="false" customHeight="false" outlineLevel="0" collapsed="false">
      <c r="A6" s="7" t="s">
        <v>12</v>
      </c>
      <c r="B6" s="7" t="s">
        <v>13</v>
      </c>
      <c r="C6" s="7" t="s">
        <v>14</v>
      </c>
      <c r="D6" s="8" t="n">
        <v>22800</v>
      </c>
      <c r="E6" s="9" t="n">
        <v>65</v>
      </c>
      <c r="F6" s="8" t="n">
        <f aca="false">D6*E6</f>
        <v>1482000</v>
      </c>
      <c r="G6" s="7" t="s">
        <v>15</v>
      </c>
    </row>
    <row r="7" customFormat="false" ht="15" hidden="false" customHeight="false" outlineLevel="0" collapsed="false">
      <c r="A7" s="4" t="s">
        <v>16</v>
      </c>
      <c r="B7" s="4" t="s">
        <v>17</v>
      </c>
      <c r="C7" s="4" t="s">
        <v>14</v>
      </c>
      <c r="D7" s="5" t="n">
        <v>12300</v>
      </c>
      <c r="E7" s="6" t="n">
        <v>42</v>
      </c>
      <c r="F7" s="5" t="n">
        <f aca="false">D7*E7</f>
        <v>516600</v>
      </c>
      <c r="G7" s="4"/>
    </row>
    <row r="8" customFormat="false" ht="15" hidden="false" customHeight="false" outlineLevel="0" collapsed="false">
      <c r="A8" s="4" t="s">
        <v>18</v>
      </c>
      <c r="B8" s="4" t="s">
        <v>19</v>
      </c>
      <c r="C8" s="4" t="s">
        <v>14</v>
      </c>
      <c r="D8" s="5" t="n">
        <v>3200</v>
      </c>
      <c r="E8" s="6" t="n">
        <v>850</v>
      </c>
      <c r="F8" s="5" t="n">
        <f aca="false">D8*E8</f>
        <v>2720000</v>
      </c>
      <c r="G8" s="4"/>
    </row>
    <row r="9" customFormat="false" ht="15" hidden="false" customHeight="false" outlineLevel="0" collapsed="false">
      <c r="A9" s="4" t="s">
        <v>20</v>
      </c>
      <c r="B9" s="4" t="s">
        <v>21</v>
      </c>
      <c r="C9" s="4" t="s">
        <v>14</v>
      </c>
      <c r="D9" s="5" t="n">
        <v>5400</v>
      </c>
      <c r="E9" s="6" t="n">
        <v>720</v>
      </c>
      <c r="F9" s="5" t="n">
        <f aca="false">D9*E9</f>
        <v>3888000</v>
      </c>
      <c r="G9" s="4"/>
    </row>
    <row r="10" customFormat="false" ht="15" hidden="false" customHeight="false" outlineLevel="0" collapsed="false">
      <c r="A10" s="7" t="s">
        <v>22</v>
      </c>
      <c r="B10" s="7" t="s">
        <v>23</v>
      </c>
      <c r="C10" s="7" t="s">
        <v>24</v>
      </c>
      <c r="D10" s="8" t="n">
        <v>2850</v>
      </c>
      <c r="E10" s="9" t="n">
        <v>6850</v>
      </c>
      <c r="F10" s="8" t="n">
        <f aca="false">D10*E10</f>
        <v>19522500</v>
      </c>
      <c r="G10" s="7" t="s">
        <v>15</v>
      </c>
    </row>
    <row r="11" customFormat="false" ht="15" hidden="false" customHeight="false" outlineLevel="0" collapsed="false">
      <c r="A11" s="7" t="s">
        <v>25</v>
      </c>
      <c r="B11" s="7" t="s">
        <v>26</v>
      </c>
      <c r="C11" s="7" t="s">
        <v>24</v>
      </c>
      <c r="D11" s="8" t="n">
        <v>1120</v>
      </c>
      <c r="E11" s="9" t="n">
        <v>6400</v>
      </c>
      <c r="F11" s="8" t="n">
        <f aca="false">D11*E11</f>
        <v>7168000</v>
      </c>
      <c r="G11" s="7" t="s">
        <v>15</v>
      </c>
    </row>
    <row r="12" customFormat="false" ht="15" hidden="false" customHeight="false" outlineLevel="0" collapsed="false">
      <c r="A12" s="4" t="s">
        <v>27</v>
      </c>
      <c r="B12" s="4" t="s">
        <v>28</v>
      </c>
      <c r="C12" s="4" t="s">
        <v>11</v>
      </c>
      <c r="D12" s="5" t="n">
        <v>28000</v>
      </c>
      <c r="E12" s="6" t="n">
        <v>145</v>
      </c>
      <c r="F12" s="5" t="n">
        <f aca="false">D12*E12</f>
        <v>4060000</v>
      </c>
      <c r="G12" s="4"/>
    </row>
    <row r="13" customFormat="false" ht="15" hidden="false" customHeight="false" outlineLevel="0" collapsed="false">
      <c r="A13" s="4" t="s">
        <v>29</v>
      </c>
      <c r="B13" s="4" t="s">
        <v>30</v>
      </c>
      <c r="C13" s="4" t="s">
        <v>11</v>
      </c>
      <c r="D13" s="5" t="n">
        <v>19500</v>
      </c>
      <c r="E13" s="6" t="n">
        <v>168</v>
      </c>
      <c r="F13" s="5" t="n">
        <f aca="false">D13*E13</f>
        <v>3276000</v>
      </c>
      <c r="G13" s="4"/>
    </row>
    <row r="14" customFormat="false" ht="15" hidden="false" customHeight="false" outlineLevel="0" collapsed="false">
      <c r="A14" s="4" t="s">
        <v>31</v>
      </c>
      <c r="B14" s="4" t="s">
        <v>32</v>
      </c>
      <c r="C14" s="4" t="s">
        <v>11</v>
      </c>
      <c r="D14" s="5" t="n">
        <v>36000</v>
      </c>
      <c r="E14" s="6" t="n">
        <v>210</v>
      </c>
      <c r="F14" s="5" t="n">
        <f aca="false">D14*E14</f>
        <v>7560000</v>
      </c>
      <c r="G14" s="4"/>
    </row>
    <row r="15" customFormat="false" ht="15" hidden="false" customHeight="false" outlineLevel="0" collapsed="false">
      <c r="A15" s="7" t="s">
        <v>33</v>
      </c>
      <c r="B15" s="7" t="s">
        <v>34</v>
      </c>
      <c r="C15" s="7" t="s">
        <v>11</v>
      </c>
      <c r="D15" s="8" t="n">
        <v>18500</v>
      </c>
      <c r="E15" s="9" t="n">
        <v>95</v>
      </c>
      <c r="F15" s="8" t="n">
        <f aca="false">D15*E15</f>
        <v>1757500</v>
      </c>
      <c r="G15" s="7" t="s">
        <v>15</v>
      </c>
    </row>
    <row r="16" customFormat="false" ht="15" hidden="false" customHeight="false" outlineLevel="0" collapsed="false">
      <c r="A16" s="7" t="s">
        <v>35</v>
      </c>
      <c r="B16" s="7" t="s">
        <v>36</v>
      </c>
      <c r="C16" s="7" t="s">
        <v>37</v>
      </c>
      <c r="D16" s="8" t="n">
        <v>1</v>
      </c>
      <c r="E16" s="9" t="n">
        <v>4750000</v>
      </c>
      <c r="F16" s="8" t="n">
        <f aca="false">D16*E16</f>
        <v>4750000</v>
      </c>
      <c r="G16" s="7" t="s">
        <v>15</v>
      </c>
    </row>
    <row r="17" customFormat="false" ht="15" hidden="false" customHeight="false" outlineLevel="0" collapsed="false">
      <c r="A17" s="4" t="s">
        <v>38</v>
      </c>
      <c r="B17" s="4" t="s">
        <v>39</v>
      </c>
      <c r="C17" s="4" t="s">
        <v>37</v>
      </c>
      <c r="D17" s="5" t="n">
        <v>1</v>
      </c>
      <c r="E17" s="6" t="n">
        <v>5600000</v>
      </c>
      <c r="F17" s="5" t="n">
        <f aca="false">D17*E17</f>
        <v>5600000</v>
      </c>
      <c r="G17" s="4"/>
    </row>
    <row r="18" customFormat="false" ht="15" hidden="false" customHeight="false" outlineLevel="0" collapsed="false">
      <c r="A18" s="4" t="s">
        <v>40</v>
      </c>
      <c r="B18" s="4" t="s">
        <v>41</v>
      </c>
      <c r="C18" s="4" t="s">
        <v>42</v>
      </c>
      <c r="D18" s="5" t="n">
        <v>3400</v>
      </c>
      <c r="E18" s="6" t="n">
        <v>320</v>
      </c>
      <c r="F18" s="5" t="n">
        <f aca="false">D18*E18</f>
        <v>1088000</v>
      </c>
      <c r="G18" s="4"/>
    </row>
    <row r="19" customFormat="false" ht="15" hidden="false" customHeight="false" outlineLevel="0" collapsed="false">
      <c r="A19" s="10" t="s">
        <v>43</v>
      </c>
      <c r="B19" s="10" t="s">
        <v>44</v>
      </c>
      <c r="C19" s="10" t="s">
        <v>45</v>
      </c>
      <c r="D19" s="11" t="n">
        <v>12</v>
      </c>
      <c r="E19" s="12" t="n">
        <v>68000</v>
      </c>
      <c r="F19" s="11" t="n">
        <f aca="false">D19*E19</f>
        <v>816000</v>
      </c>
      <c r="G19" s="10" t="s">
        <v>46</v>
      </c>
    </row>
    <row r="20" customFormat="false" ht="15" hidden="false" customHeight="false" outlineLevel="0" collapsed="false">
      <c r="A20" s="10" t="s">
        <v>47</v>
      </c>
      <c r="B20" s="10" t="s">
        <v>48</v>
      </c>
      <c r="C20" s="10" t="s">
        <v>42</v>
      </c>
      <c r="D20" s="11" t="n">
        <v>850</v>
      </c>
      <c r="E20" s="12" t="n">
        <v>410</v>
      </c>
      <c r="F20" s="11" t="n">
        <f aca="false">D20*E20</f>
        <v>348500</v>
      </c>
      <c r="G20" s="10" t="s">
        <v>46</v>
      </c>
    </row>
    <row r="21" customFormat="false" ht="15" hidden="false" customHeight="false" outlineLevel="0" collapsed="false">
      <c r="A21" s="13" t="s">
        <v>49</v>
      </c>
      <c r="B21" s="13"/>
      <c r="C21" s="13"/>
      <c r="D21" s="13"/>
      <c r="E21" s="13"/>
      <c r="F21" s="14" t="n">
        <f aca="false">SUM(F5:F20)</f>
        <v>66149100</v>
      </c>
    </row>
    <row r="23" customFormat="false" ht="15" hidden="false" customHeight="false" outlineLevel="0" collapsed="false">
      <c r="A23" s="15" t="s">
        <v>50</v>
      </c>
      <c r="F23" s="16" t="n">
        <v>61963100</v>
      </c>
    </row>
    <row r="24" customFormat="false" ht="15" hidden="false" customHeight="false" outlineLevel="0" collapsed="false">
      <c r="A24" s="17" t="s">
        <v>51</v>
      </c>
      <c r="F24" s="18" t="n">
        <f aca="false">F21-F23</f>
        <v>4186000</v>
      </c>
    </row>
  </sheetData>
  <mergeCells count="3">
    <mergeCell ref="A1:G1"/>
    <mergeCell ref="A2:G2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2026-07-07T15:04:57Z</dcterms:created>
  <dc:creator>openpyxl</dc:creator>
  <dc:description/>
  <dc:language>en-US</dc:language>
  <cp:lastModifiedBy/>
  <dcterms:modified xsi:type="dcterms:W3CDTF">2026-07-07T15:04:57Z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